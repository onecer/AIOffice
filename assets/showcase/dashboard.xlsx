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3759f8ff54931" /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c5d772b18d4242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shboard" sheetId="1" r:id="rId2"/>
  </x:sheets>
  <x:definedNames>
    <x:definedName name="_xlnm.Print_Area" localSheetId="0">Dashboard!$B$2:$J$54</x:definedName>
  </x:definedNames>
  <x:calcPr calcId="125725"/>
</x:workbook>
</file>

<file path=xl/calcChain.xml><?xml version="1.0" encoding="utf-8"?>
<x:calcChain xmlns:x="http://schemas.openxmlformats.org/spreadsheetml/2006/main">
  <x:c r="B6" i="1"/>
  <x:c r="C6" i="1"/>
  <x:c r="D6" i="1"/>
  <x:c r="E6" i="1"/>
  <x:c r="F6" i="1"/>
  <x:c r="G6" i="1"/>
  <x:c r="G10" i="1"/>
  <x:c r="K10" i="1"/>
  <x:c r="L10" i="1"/>
  <x:c r="G11" i="1"/>
  <x:c r="K11" i="1"/>
  <x:c r="L11" i="1"/>
  <x:c r="G12" i="1"/>
  <x:c r="K12" i="1"/>
  <x:c r="L12" i="1"/>
  <x:c r="G13" i="1"/>
  <x:c r="K13" i="1"/>
  <x:c r="L13" i="1"/>
  <x:c r="G14" i="1"/>
  <x:c r="K14" i="1"/>
  <x:c r="L14" i="1"/>
  <x:c r="G15" i="1"/>
  <x:c r="K15" i="1"/>
  <x:c r="L15" i="1"/>
  <x:c r="G16" i="1"/>
  <x:c r="K16" i="1"/>
  <x:c r="L16" i="1"/>
  <x:c r="G17" i="1"/>
  <x:c r="K17" i="1"/>
  <x:c r="L17" i="1"/>
  <x:c r="C18" i="1"/>
  <x:c r="D18" i="1"/>
  <x:c r="E18" i="1"/>
  <x:c r="F18" i="1"/>
  <x:c r="G18" i="1"/>
  <x:c r="H18" i="1"/>
  <x:c r="I18" i="1"/>
</x:calcChain>
</file>

<file path=xl/sharedStrings.xml><?xml version="1.0" encoding="utf-8"?>
<x:sst xmlns:x="http://schemas.openxmlformats.org/spreadsheetml/2006/main">
  <x:si>
    <x:t>Northwind Cloud — FY2025 Revenue Dashboard</x:t>
  </x:si>
  <x:si>
    <x:t>Quarterly revenue, units, and margin by sales region · built entirely with aioffice</x:t>
  </x:si>
  <x:si>
    <x:t>Total FY Revenue</x:t>
  </x:si>
  <x:si>
    <x:t>Units Sold</x:t>
  </x:si>
  <x:si>
    <x:t>Avg Margin</x:t>
  </x:si>
  <x:si>
    <x:t>Top Region</x:t>
  </x:si>
  <x:si>
    <x:t>Best Quarter</x:t>
  </x:si>
  <x:si>
    <x:t>Regions</x:t>
  </x:si>
  <x:si>
    <x:t>Region</x:t>
  </x:si>
  <x:si>
    <x:t>Q1</x:t>
  </x:si>
  <x:si>
    <x:t>Q2</x:t>
  </x:si>
  <x:si>
    <x:t>Q3</x:t>
  </x:si>
  <x:si>
    <x:t>Q4</x:t>
  </x:si>
  <x:si>
    <x:t>FY Revenue</x:t>
  </x:si>
  <x:si>
    <x:t>Units</x:t>
  </x:si>
  <x:si>
    <x:t>Margin %</x:t>
  </x:si>
  <x:si>
    <x:t>North America</x:t>
  </x:si>
  <x:si>
    <x:t>EMEA</x:t>
  </x:si>
  <x:si>
    <x:t>LATAM</x:t>
  </x:si>
  <x:si>
    <x:t>APAC</x:t>
  </x:si>
  <x:si>
    <x:t>UK &amp; Ireland</x:t>
  </x:si>
  <x:si>
    <x:t>DACH</x:t>
  </x:si>
  <x:si>
    <x:t>Nordics</x:t>
  </x:si>
  <x:si>
    <x:t>MEA</x:t>
  </x:si>
  <x:si>
    <x:t>Total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</x:si>
</x:sst>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&quot;$&quot;#,##0"/>
    <x:numFmt numFmtId="165" formatCode="#,##0"/>
    <x:numFmt numFmtId="166" formatCode="0.0%"/>
    <x:numFmt numFmtId="167" formatCode="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F2742"/>
      <x:name val="Calibri"/>
      <x:family val="2"/>
    </x:font>
    <x:font>
      <x:vertAlign val="baseline"/>
      <x:sz val="11"/>
      <x:color rgb="FF64748B"/>
      <x:name val="Calibri"/>
      <x:family val="2"/>
    </x:font>
    <x:font>
      <x:b/>
      <x:vertAlign val="baseline"/>
      <x:sz val="11"/>
      <x:color rgb="FF35597E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1E293B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8F1FB"/>
      </x:patternFill>
    </x:fill>
    <x:fill>
      <x:patternFill patternType="solid">
        <x:fgColor rgb="FFF4F9FF"/>
      </x:patternFill>
    </x:fill>
    <x:fill>
      <x:patternFill patternType="solid">
        <x:fgColor rgb="FF143C66"/>
      </x:patternFill>
    </x:fill>
    <x:fill>
      <x:patternFill patternType="solid">
        <x:fgColor rgb="FFF1F6FC"/>
      </x:patternFill>
    </x:fill>
    <x:fill>
      <x:patternFill patternType="solid">
        <x:fgColor rgb="FFD6E6F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1" fillId="4" borderId="0" applyNumberFormat="1" applyFill="0" applyBorder="0" applyAlignment="1" applyProtection="1">
      <x:protection locked="1" hidden="0"/>
    </x:xf>
    <x:xf numFmtId="165" fontId="1" fillId="4" borderId="0" applyNumberFormat="1" applyFill="0" applyBorder="0" applyAlignment="1" applyProtection="1">
      <x:protection locked="1" hidden="0"/>
    </x:xf>
    <x:xf numFmtId="166" fontId="1" fillId="4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167" fontId="1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164" fontId="5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6" fontId="5" fillId="2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164" fontId="5" fillId="6" borderId="0" applyNumberFormat="1" applyFill="0" applyBorder="0" applyAlignment="1" applyProtection="1">
      <x:protection locked="1" hidden="0"/>
    </x:xf>
    <x:xf numFmtId="165" fontId="5" fillId="6" borderId="0" applyNumberFormat="1" applyFill="0" applyBorder="0" applyAlignment="1" applyProtection="1">
      <x:protection locked="1" hidden="0"/>
    </x:xf>
    <x:xf numFmtId="166" fontId="5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164" fontId="1" fillId="7" borderId="0" applyNumberFormat="1" applyFill="0" applyBorder="0" applyAlignment="1" applyProtection="1">
      <x:protection locked="1" hidden="0"/>
    </x:xf>
    <x:xf numFmtId="165" fontId="1" fillId="7" borderId="0" applyNumberFormat="1" applyFill="0" applyBorder="0" applyAlignment="1" applyProtection="1">
      <x:protection locked="1" hidden="0"/>
    </x:xf>
    <x:xf numFmtId="166" fontId="1" fillId="7" borderId="0" applyNumberFormat="1" applyFill="0" applyBorder="0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18a5314b3a41da" /><Relationship Type="http://schemas.openxmlformats.org/officeDocument/2006/relationships/chart" Target="/xl/drawings/charts/chart2.xml" Id="Rbc12d3ea3f36411f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FY 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'Dashboard'!$L$9</c:f>
              <c:strCache>
                <c:ptCount val="1"/>
                <c:pt idx="0">
                  <c:v>FY Revenue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'Dashboard'!$K$10:$K$17</c:f>
              <c:strCache>
                <c:ptCount val="8"/>
                <c:pt idx="0">
                  <c:v>North America</c:v>
                </c:pt>
                <c:pt idx="1">
                  <c:v>EMEA</c:v>
                </c:pt>
                <c:pt idx="2">
                  <c:v>LATAM</c:v>
                </c:pt>
                <c:pt idx="3">
                  <c:v>APAC</c:v>
                </c:pt>
                <c:pt idx="4">
                  <c:v>UK &amp; Ireland</c:v>
                </c:pt>
                <c:pt idx="5">
                  <c:v>DACH</c:v>
                </c:pt>
                <c:pt idx="6">
                  <c:v>Nordics</c:v>
                </c:pt>
                <c:pt idx="7">
                  <c:v>MEA</c:v>
                </c:pt>
              </c:strCache>
            </c:strRef>
          </c:cat>
          <c:val>
            <c:numRef>
              <c:f>'Dashboard'!$L$10:$L$17</c:f>
              <c:numCache>
                <c:formatCode>General</c:formatCode>
                <c:ptCount val="8"/>
                <c:pt idx="0">
                  <c:v>1934000</c:v>
                </c:pt>
                <c:pt idx="1">
                  <c:v>1427000</c:v>
                </c:pt>
                <c:pt idx="2">
                  <c:v>589000</c:v>
                </c:pt>
                <c:pt idx="3">
                  <c:v>1353000</c:v>
                </c:pt>
                <c:pt idx="4">
                  <c:v>811000</c:v>
                </c:pt>
                <c:pt idx="5">
                  <c:v>979000</c:v>
                </c:pt>
                <c:pt idx="6">
                  <c:v>437000</c:v>
                </c:pt>
                <c:pt idx="7">
                  <c:v>350000</c:v>
                </c:pt>
              </c:numCache>
            </c:numRef>
          </c:val>
        </c:ser>
        <c:axId val="100001"/>
        <c:axId val="100002"/>
      </c:barChart>
      <c:catAx>
        <c:axId val="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Region</a:t>
                </a:r>
              </a:p>
            </c:rich>
          </c:tx>
          <c:overlay val="0"/>
        </c:title>
        <c:crossAx val="100002"/>
      </c:catAx>
      <c:valAx>
        <c:axId val="100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FY Revenue (USD)</a:t>
                </a:r>
              </a:p>
            </c:rich>
          </c:tx>
          <c:overlay val="0"/>
        </c:title>
        <c:crossAx val="100001"/>
      </c:valAx>
    </c:plotArea>
    <c:plotVisOnly val="1"/>
  </c:chart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Quarterly Revenue Trend by Region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'Dashboard'!$C$9</c:f>
              <c:strCache>
                <c:ptCount val="1"/>
                <c:pt idx="0">
                  <c:v>Q1</c:v>
                </c:pt>
              </c:strCache>
            </c:strRef>
          </c:tx>
          <c:cat>
            <c:strRef>
              <c:f>'Dashboard'!$B$10:$B$17</c:f>
              <c:strCache>
                <c:ptCount val="8"/>
                <c:pt idx="0">
                  <c:v>North America</c:v>
                </c:pt>
                <c:pt idx="1">
                  <c:v>EMEA</c:v>
                </c:pt>
                <c:pt idx="2">
                  <c:v>LATAM</c:v>
                </c:pt>
                <c:pt idx="3">
                  <c:v>APAC</c:v>
                </c:pt>
                <c:pt idx="4">
                  <c:v>UK &amp; Ireland</c:v>
                </c:pt>
                <c:pt idx="5">
                  <c:v>DACH</c:v>
                </c:pt>
                <c:pt idx="6">
                  <c:v>Nordics</c:v>
                </c:pt>
                <c:pt idx="7">
                  <c:v>MEA</c:v>
                </c:pt>
              </c:strCache>
            </c:strRef>
          </c:cat>
          <c:val>
            <c:numRef>
              <c:f>'Dashboard'!$C$10:$C$17</c:f>
              <c:numCache>
                <c:formatCode>General</c:formatCode>
                <c:ptCount val="8"/>
                <c:pt idx="0">
                  <c:v>412000</c:v>
                </c:pt>
                <c:pt idx="1">
                  <c:v>318000</c:v>
                </c:pt>
                <c:pt idx="2">
                  <c:v>128000</c:v>
                </c:pt>
                <c:pt idx="3">
                  <c:v>274000</c:v>
                </c:pt>
                <c:pt idx="4">
                  <c:v>186000</c:v>
                </c:pt>
                <c:pt idx="5">
                  <c:v>221000</c:v>
                </c:pt>
                <c:pt idx="6">
                  <c:v>97000</c:v>
                </c:pt>
                <c:pt idx="7">
                  <c:v>74000</c:v>
                </c:pt>
              </c:numCache>
            </c:numRef>
          </c:val>
        </c:ser>
        <c:ser>
          <c:idx val="1"/>
          <c:order val="1"/>
          <c:tx>
            <c:strRef>
              <c:f>'Dashboard'!$D$9</c:f>
              <c:strCache>
                <c:ptCount val="1"/>
                <c:pt idx="0">
                  <c:v>Q2</c:v>
                </c:pt>
              </c:strCache>
            </c:strRef>
          </c:tx>
          <c:cat>
            <c:strRef>
              <c:f>'Dashboard'!$B$10:$B$17</c:f>
              <c:strCache>
                <c:ptCount val="8"/>
                <c:pt idx="0">
                  <c:v>North America</c:v>
                </c:pt>
                <c:pt idx="1">
                  <c:v>EMEA</c:v>
                </c:pt>
                <c:pt idx="2">
                  <c:v>LATAM</c:v>
                </c:pt>
                <c:pt idx="3">
                  <c:v>APAC</c:v>
                </c:pt>
                <c:pt idx="4">
                  <c:v>UK &amp; Ireland</c:v>
                </c:pt>
                <c:pt idx="5">
                  <c:v>DACH</c:v>
                </c:pt>
                <c:pt idx="6">
                  <c:v>Nordics</c:v>
                </c:pt>
                <c:pt idx="7">
                  <c:v>MEA</c:v>
                </c:pt>
              </c:strCache>
            </c:strRef>
          </c:cat>
          <c:val>
            <c:numRef>
              <c:f>'Dashboard'!$D$10:$D$17</c:f>
              <c:numCache>
                <c:formatCode>General</c:formatCode>
                <c:ptCount val="8"/>
                <c:pt idx="0">
                  <c:v>458000</c:v>
                </c:pt>
                <c:pt idx="1">
                  <c:v>342000</c:v>
                </c:pt>
                <c:pt idx="2">
                  <c:v>141000</c:v>
                </c:pt>
                <c:pt idx="3">
                  <c:v>309000</c:v>
                </c:pt>
                <c:pt idx="4">
                  <c:v>197000</c:v>
                </c:pt>
                <c:pt idx="5">
                  <c:v>238000</c:v>
                </c:pt>
                <c:pt idx="6">
                  <c:v>104000</c:v>
                </c:pt>
                <c:pt idx="7">
                  <c:v>82000</c:v>
                </c:pt>
              </c:numCache>
            </c:numRef>
          </c:val>
        </c:ser>
        <c:ser>
          <c:idx val="2"/>
          <c:order val="2"/>
          <c:tx>
            <c:strRef>
              <c:f>'Dashboard'!$E$9</c:f>
              <c:strCache>
                <c:ptCount val="1"/>
                <c:pt idx="0">
                  <c:v>Q3</c:v>
                </c:pt>
              </c:strCache>
            </c:strRef>
          </c:tx>
          <c:cat>
            <c:strRef>
              <c:f>'Dashboard'!$B$10:$B$17</c:f>
              <c:strCache>
                <c:ptCount val="8"/>
                <c:pt idx="0">
                  <c:v>North America</c:v>
                </c:pt>
                <c:pt idx="1">
                  <c:v>EMEA</c:v>
                </c:pt>
                <c:pt idx="2">
                  <c:v>LATAM</c:v>
                </c:pt>
                <c:pt idx="3">
                  <c:v>APAC</c:v>
                </c:pt>
                <c:pt idx="4">
                  <c:v>UK &amp; Ireland</c:v>
                </c:pt>
                <c:pt idx="5">
                  <c:v>DACH</c:v>
                </c:pt>
                <c:pt idx="6">
                  <c:v>Nordics</c:v>
                </c:pt>
                <c:pt idx="7">
                  <c:v>MEA</c:v>
                </c:pt>
              </c:strCache>
            </c:strRef>
          </c:cat>
          <c:val>
            <c:numRef>
              <c:f>'Dashboard'!$E$10:$E$17</c:f>
              <c:numCache>
                <c:formatCode>General</c:formatCode>
                <c:ptCount val="8"/>
                <c:pt idx="0">
                  <c:v>503000</c:v>
                </c:pt>
                <c:pt idx="1">
                  <c:v>366000</c:v>
                </c:pt>
                <c:pt idx="2">
                  <c:v>152000</c:v>
                </c:pt>
                <c:pt idx="3">
                  <c:v>358000</c:v>
                </c:pt>
                <c:pt idx="4">
                  <c:v>205000</c:v>
                </c:pt>
                <c:pt idx="5">
                  <c:v>251000</c:v>
                </c:pt>
                <c:pt idx="6">
                  <c:v>112000</c:v>
                </c:pt>
                <c:pt idx="7">
                  <c:v>91000</c:v>
                </c:pt>
              </c:numCache>
            </c:numRef>
          </c:val>
        </c:ser>
        <c:ser>
          <c:idx val="3"/>
          <c:order val="3"/>
          <c:tx>
            <c:strRef>
              <c:f>'Dashboard'!$F$9</c:f>
              <c:strCache>
                <c:ptCount val="1"/>
                <c:pt idx="0">
                  <c:v>Q4</c:v>
                </c:pt>
              </c:strCache>
            </c:strRef>
          </c:tx>
          <c:cat>
            <c:strRef>
              <c:f>'Dashboard'!$B$10:$B$17</c:f>
              <c:strCache>
                <c:ptCount val="8"/>
                <c:pt idx="0">
                  <c:v>North America</c:v>
                </c:pt>
                <c:pt idx="1">
                  <c:v>EMEA</c:v>
                </c:pt>
                <c:pt idx="2">
                  <c:v>LATAM</c:v>
                </c:pt>
                <c:pt idx="3">
                  <c:v>APAC</c:v>
                </c:pt>
                <c:pt idx="4">
                  <c:v>UK &amp; Ireland</c:v>
                </c:pt>
                <c:pt idx="5">
                  <c:v>DACH</c:v>
                </c:pt>
                <c:pt idx="6">
                  <c:v>Nordics</c:v>
                </c:pt>
                <c:pt idx="7">
                  <c:v>MEA</c:v>
                </c:pt>
              </c:strCache>
            </c:strRef>
          </c:cat>
          <c:val>
            <c:numRef>
              <c:f>'Dashboard'!$F$10:$F$17</c:f>
              <c:numCache>
                <c:formatCode>General</c:formatCode>
                <c:ptCount val="8"/>
                <c:pt idx="0">
                  <c:v>561000</c:v>
                </c:pt>
                <c:pt idx="1">
                  <c:v>401000</c:v>
                </c:pt>
                <c:pt idx="2">
                  <c:v>168000</c:v>
                </c:pt>
                <c:pt idx="3">
                  <c:v>412000</c:v>
                </c:pt>
                <c:pt idx="4">
                  <c:v>223000</c:v>
                </c:pt>
                <c:pt idx="5">
                  <c:v>269000</c:v>
                </c:pt>
                <c:pt idx="6">
                  <c:v>124000</c:v>
                </c:pt>
                <c:pt idx="7">
                  <c:v>103000</c:v>
                </c:pt>
              </c:numCache>
            </c:numRef>
          </c:val>
        </c:ser>
        <c:axId val="100001"/>
        <c:axId val="100002"/>
      </c:lineChart>
      <c:catAx>
        <c:axId val="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Quarter</a:t>
                </a:r>
              </a:p>
            </c:rich>
          </c:tx>
          <c:overlay val="0"/>
        </c:title>
        <c:crossAx val="100002"/>
      </c:catAx>
      <c:valAx>
        <c:axId val="10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Revenue (USD)</a:t>
                </a:r>
              </a:p>
            </c:rich>
          </c:tx>
          <c:overlay val="0"/>
        </c:title>
        <c:crossAx val="100001"/>
      </c:valAx>
    </c:plotArea>
    <c:legend>
      <c:legendPos val="b"/>
      <c:overlay val="0"/>
    </c:legend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9</xdr:col>
      <xdr:colOff>0</xdr:colOff>
      <xdr:row>34</xdr:row>
      <xdr:rowOff>0</xdr:rowOff>
    </xdr:to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e918a5314b3a41da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9</xdr:col>
      <xdr:colOff>0</xdr:colOff>
      <xdr:row>54</xdr:row>
      <xdr:rowOff>0</xdr:rowOff>
    </xdr:to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bc12d3ea3f36411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3d540bc92545d5" 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"/>
  <x:sheetViews>
    <x:sheetView workbookViewId="0"/>
  </x:sheetViews>
  <x:sheetFormatPr defaultRowHeight="15"/>
  <x:cols>
    <x:col min="1" max="1" width="3.210625" style="0" customWidth="1"/>
    <x:col min="2" max="2" width="16.710625" style="0" customWidth="1"/>
    <x:col min="3" max="6" width="14.710625" style="0" customWidth="1"/>
    <x:col min="7" max="7" width="16.710625" style="0" customWidth="1"/>
    <x:col min="8" max="8" width="10.710625" style="0" customWidth="1"/>
    <x:col min="9" max="9" width="11.710625" style="0" customWidth="1"/>
  </x:cols>
  <x:sheetData>
    <x:row r="1" spans="1:12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 spans="1:12" ht="26" customHeight="1">
      <x:c r="A2" s="5"/>
      <x:c r="B2" s="6" t="s">
        <x:v>0</x:v>
      </x:c>
      <x:c r="C2" s="5"/>
      <x:c r="D2" s="5"/>
      <x:c r="E2" s="5"/>
      <x:c r="F2" s="5"/>
      <x:c r="G2" s="5"/>
      <x:c r="H2" s="5"/>
      <x:c r="I2" s="5"/>
      <x:c r="J2" s="5"/>
    </x:row>
    <x:row r="3" spans="1:12" ht="18" customHeight="1">
      <x:c r="A3" s="5"/>
      <x:c r="B3" s="7" t="s">
        <x:v>1</x:v>
      </x:c>
      <x:c r="C3" s="5"/>
      <x:c r="D3" s="5"/>
      <x:c r="E3" s="5"/>
      <x:c r="F3" s="5"/>
      <x:c r="G3" s="5"/>
      <x:c r="H3" s="5"/>
      <x:c r="I3" s="5"/>
      <x:c r="J3" s="5"/>
    </x:row>
    <x:row r="4" spans="1:12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spans="1:12" ht="16" customHeight="1">
      <x:c r="A5" s="5"/>
      <x:c r="B5" s="8" t="s">
        <x:v>2</x:v>
      </x:c>
      <x:c r="C5" s="8" t="s">
        <x:v>3</x:v>
      </x:c>
      <x:c r="D5" s="8" t="s">
        <x:v>4</x:v>
      </x:c>
      <x:c r="E5" s="8" t="s">
        <x:v>5</x:v>
      </x:c>
      <x:c r="F5" s="8" t="s">
        <x:v>6</x:v>
      </x:c>
      <x:c r="G5" s="8" t="s">
        <x:v>7</x:v>
      </x:c>
      <x:c r="H5" s="5"/>
      <x:c r="I5" s="5"/>
      <x:c r="J5" s="5"/>
    </x:row>
    <x:row r="6" spans="1:12" ht="24" customHeight="1">
      <x:c r="A6" s="5"/>
      <x:c r="B6" s="9">
        <x:f>G18</x:f>
        <x:v>7880000</x:v>
      </x:c>
      <x:c r="C6" s="10">
        <x:f>H18</x:f>
        <x:v>13760</x:v>
      </x:c>
      <x:c r="D6" s="11">
        <x:f>I18</x:f>
        <x:v>0.304125</x:v>
      </x:c>
      <x:c r="E6" s="12" t="str">
        <x:f>_xlfn.XLOOKUP(MAX(G10:G17),G10:G17,B10:B17)</x:f>
        <x:v>North America</x:v>
      </x:c>
      <x:c r="F6" s="12" t="str">
        <x:f>_xlfn.XLOOKUP(MAX(C18:F18),C18:F18,C9:F9)</x:f>
        <x:v>Q4</x:v>
      </x:c>
      <x:c r="G6" s="13">
        <x:f>COUNTA(B10:B17)</x:f>
        <x:v>8</x:v>
      </x:c>
      <x:c r="H6" s="5"/>
      <x:c r="I6" s="5"/>
      <x:c r="J6" s="5"/>
    </x:row>
    <x:row r="7" spans="1:12">
      <x:c r="A7" s="5"/>
      <x:c r="B7" s="5"/>
      <x:c r="C7" s="5"/>
      <x:c r="D7" s="5"/>
      <x:c r="E7" s="5"/>
      <x:c r="F7" s="5"/>
      <x:c r="G7" s="5"/>
      <x:c r="H7" s="5"/>
      <x:c r="I7" s="5"/>
      <x:c r="J7" s="5"/>
    </x:row>
    <x:row r="8" spans="1:12">
      <x:c r="A8" s="5"/>
      <x:c r="B8" s="5"/>
      <x:c r="C8" s="5"/>
      <x:c r="D8" s="5"/>
      <x:c r="E8" s="5"/>
      <x:c r="F8" s="5"/>
      <x:c r="G8" s="5"/>
      <x:c r="H8" s="5"/>
      <x:c r="I8" s="5"/>
      <x:c r="J8" s="5"/>
    </x:row>
    <x:row r="9" spans="1:12" ht="20" customHeight="1">
      <x:c r="A9" s="5"/>
      <x:c r="B9" s="14" t="s">
        <x:v>8</x:v>
      </x:c>
      <x:c r="C9" s="14" t="s">
        <x:v>9</x:v>
      </x:c>
      <x:c r="D9" s="14" t="s">
        <x:v>10</x:v>
      </x:c>
      <x:c r="E9" s="14" t="s">
        <x:v>11</x:v>
      </x:c>
      <x:c r="F9" s="14" t="s">
        <x:v>12</x:v>
      </x:c>
      <x:c r="G9" s="14" t="s">
        <x:v>13</x:v>
      </x:c>
      <x:c r="H9" s="14" t="s">
        <x:v>14</x:v>
      </x:c>
      <x:c r="I9" s="14" t="s">
        <x:v>15</x:v>
      </x:c>
      <x:c r="J9" s="5"/>
      <x:c r="K9" s="0" t="s">
        <x:v>8</x:v>
      </x:c>
      <x:c r="L9" s="0" t="s">
        <x:v>13</x:v>
      </x:c>
    </x:row>
    <x:row r="10" spans="1:12" ht="18" customHeight="1">
      <x:c r="A10" s="5"/>
      <x:c r="B10" s="6" t="s">
        <x:v>16</x:v>
      </x:c>
      <x:c r="C10" s="15">
        <x:v>412000</x:v>
      </x:c>
      <x:c r="D10" s="15">
        <x:v>458000</x:v>
      </x:c>
      <x:c r="E10" s="15">
        <x:v>503000</x:v>
      </x:c>
      <x:c r="F10" s="15">
        <x:v>561000</x:v>
      </x:c>
      <x:c r="G10" s="15">
        <x:f>SUM(C10:F10)</x:f>
        <x:v>1934000</x:v>
      </x:c>
      <x:c r="H10" s="16">
        <x:v>3120</x:v>
      </x:c>
      <x:c r="I10" s="17">
        <x:v>0.342</x:v>
      </x:c>
      <x:c r="J10" s="5"/>
      <x:c r="K10" s="0" t="str">
        <x:f>B10</x:f>
        <x:v>North America</x:v>
      </x:c>
      <x:c r="L10" s="0">
        <x:f>G10</x:f>
        <x:v>1934000</x:v>
      </x:c>
    </x:row>
    <x:row r="11" spans="1:12" ht="18" customHeight="1">
      <x:c r="A11" s="5"/>
      <x:c r="B11" s="18" t="s">
        <x:v>17</x:v>
      </x:c>
      <x:c r="C11" s="19">
        <x:v>318000</x:v>
      </x:c>
      <x:c r="D11" s="19">
        <x:v>342000</x:v>
      </x:c>
      <x:c r="E11" s="19">
        <x:v>366000</x:v>
      </x:c>
      <x:c r="F11" s="19">
        <x:v>401000</x:v>
      </x:c>
      <x:c r="G11" s="19">
        <x:f>SUM(C11:F11)</x:f>
        <x:v>1427000</x:v>
      </x:c>
      <x:c r="H11" s="20">
        <x:v>2410</x:v>
      </x:c>
      <x:c r="I11" s="21">
        <x:v>0.311</x:v>
      </x:c>
      <x:c r="J11" s="5"/>
      <x:c r="K11" s="0" t="str">
        <x:f>B11</x:f>
        <x:v>EMEA</x:v>
      </x:c>
      <x:c r="L11" s="0">
        <x:f>G11</x:f>
        <x:v>1427000</x:v>
      </x:c>
    </x:row>
    <x:row r="12" spans="1:12" ht="18" customHeight="1">
      <x:c r="A12" s="5"/>
      <x:c r="B12" s="6" t="s">
        <x:v>18</x:v>
      </x:c>
      <x:c r="C12" s="15">
        <x:v>128000</x:v>
      </x:c>
      <x:c r="D12" s="15">
        <x:v>141000</x:v>
      </x:c>
      <x:c r="E12" s="15">
        <x:v>152000</x:v>
      </x:c>
      <x:c r="F12" s="15">
        <x:v>168000</x:v>
      </x:c>
      <x:c r="G12" s="15">
        <x:f>SUM(C12:F12)</x:f>
        <x:v>589000</x:v>
      </x:c>
      <x:c r="H12" s="16">
        <x:v>1180</x:v>
      </x:c>
      <x:c r="I12" s="17">
        <x:v>0.268</x:v>
      </x:c>
      <x:c r="J12" s="5"/>
      <x:c r="K12" s="0" t="str">
        <x:f>B12</x:f>
        <x:v>LATAM</x:v>
      </x:c>
      <x:c r="L12" s="0">
        <x:f>G12</x:f>
        <x:v>589000</x:v>
      </x:c>
    </x:row>
    <x:row r="13" spans="1:12" ht="18" customHeight="1">
      <x:c r="A13" s="5"/>
      <x:c r="B13" s="18" t="s">
        <x:v>19</x:v>
      </x:c>
      <x:c r="C13" s="19">
        <x:v>274000</x:v>
      </x:c>
      <x:c r="D13" s="19">
        <x:v>309000</x:v>
      </x:c>
      <x:c r="E13" s="19">
        <x:v>358000</x:v>
      </x:c>
      <x:c r="F13" s="19">
        <x:v>412000</x:v>
      </x:c>
      <x:c r="G13" s="19">
        <x:f>SUM(C13:F13)</x:f>
        <x:v>1353000</x:v>
      </x:c>
      <x:c r="H13" s="20">
        <x:v>2640</x:v>
      </x:c>
      <x:c r="I13" s="21">
        <x:v>0.357</x:v>
      </x:c>
      <x:c r="J13" s="5"/>
      <x:c r="K13" s="0" t="str">
        <x:f>B13</x:f>
        <x:v>APAC</x:v>
      </x:c>
      <x:c r="L13" s="0">
        <x:f>G13</x:f>
        <x:v>1353000</x:v>
      </x:c>
    </x:row>
    <x:row r="14" spans="1:12" ht="18" customHeight="1">
      <x:c r="A14" s="5"/>
      <x:c r="B14" s="6" t="s">
        <x:v>20</x:v>
      </x:c>
      <x:c r="C14" s="15">
        <x:v>186000</x:v>
      </x:c>
      <x:c r="D14" s="15">
        <x:v>197000</x:v>
      </x:c>
      <x:c r="E14" s="15">
        <x:v>205000</x:v>
      </x:c>
      <x:c r="F14" s="15">
        <x:v>223000</x:v>
      </x:c>
      <x:c r="G14" s="15">
        <x:f>SUM(C14:F14)</x:f>
        <x:v>811000</x:v>
      </x:c>
      <x:c r="H14" s="16">
        <x:v>1390</x:v>
      </x:c>
      <x:c r="I14" s="17">
        <x:v>0.298</x:v>
      </x:c>
      <x:c r="J14" s="5"/>
      <x:c r="K14" s="0" t="str">
        <x:f>B14</x:f>
        <x:v>UK &amp; Ireland</x:v>
      </x:c>
      <x:c r="L14" s="0">
        <x:f>G14</x:f>
        <x:v>811000</x:v>
      </x:c>
    </x:row>
    <x:row r="15" spans="1:12" ht="18" customHeight="1">
      <x:c r="A15" s="5"/>
      <x:c r="B15" s="18" t="s">
        <x:v>21</x:v>
      </x:c>
      <x:c r="C15" s="19">
        <x:v>221000</x:v>
      </x:c>
      <x:c r="D15" s="19">
        <x:v>238000</x:v>
      </x:c>
      <x:c r="E15" s="19">
        <x:v>251000</x:v>
      </x:c>
      <x:c r="F15" s="19">
        <x:v>269000</x:v>
      </x:c>
      <x:c r="G15" s="19">
        <x:f>SUM(C15:F15)</x:f>
        <x:v>979000</x:v>
      </x:c>
      <x:c r="H15" s="20">
        <x:v>1720</x:v>
      </x:c>
      <x:c r="I15" s="21">
        <x:v>0.324</x:v>
      </x:c>
      <x:c r="J15" s="5"/>
      <x:c r="K15" s="0" t="str">
        <x:f>B15</x:f>
        <x:v>DACH</x:v>
      </x:c>
      <x:c r="L15" s="0">
        <x:f>G15</x:f>
        <x:v>979000</x:v>
      </x:c>
    </x:row>
    <x:row r="16" spans="1:12" ht="18" customHeight="1">
      <x:c r="A16" s="5"/>
      <x:c r="B16" s="6" t="s">
        <x:v>22</x:v>
      </x:c>
      <x:c r="C16" s="15">
        <x:v>97000</x:v>
      </x:c>
      <x:c r="D16" s="15">
        <x:v>104000</x:v>
      </x:c>
      <x:c r="E16" s="15">
        <x:v>112000</x:v>
      </x:c>
      <x:c r="F16" s="15">
        <x:v>124000</x:v>
      </x:c>
      <x:c r="G16" s="15">
        <x:f>SUM(C16:F16)</x:f>
        <x:v>437000</x:v>
      </x:c>
      <x:c r="H16" s="16">
        <x:v>760</x:v>
      </x:c>
      <x:c r="I16" s="17">
        <x:v>0.281</x:v>
      </x:c>
      <x:c r="J16" s="5"/>
      <x:c r="K16" s="0" t="str">
        <x:f>B16</x:f>
        <x:v>Nordics</x:v>
      </x:c>
      <x:c r="L16" s="0">
        <x:f>G16</x:f>
        <x:v>437000</x:v>
      </x:c>
    </x:row>
    <x:row r="17" spans="1:12" ht="18" customHeight="1">
      <x:c r="A17" s="5"/>
      <x:c r="B17" s="18" t="s">
        <x:v>23</x:v>
      </x:c>
      <x:c r="C17" s="19">
        <x:v>74000</x:v>
      </x:c>
      <x:c r="D17" s="19">
        <x:v>82000</x:v>
      </x:c>
      <x:c r="E17" s="19">
        <x:v>91000</x:v>
      </x:c>
      <x:c r="F17" s="19">
        <x:v>103000</x:v>
      </x:c>
      <x:c r="G17" s="19">
        <x:f>SUM(C17:F17)</x:f>
        <x:v>350000</x:v>
      </x:c>
      <x:c r="H17" s="20">
        <x:v>540</x:v>
      </x:c>
      <x:c r="I17" s="21">
        <x:v>0.252</x:v>
      </x:c>
      <x:c r="J17" s="5"/>
      <x:c r="K17" s="0" t="str">
        <x:f>B17</x:f>
        <x:v>MEA</x:v>
      </x:c>
      <x:c r="L17" s="0">
        <x:f>G17</x:f>
        <x:v>350000</x:v>
      </x:c>
    </x:row>
    <x:row r="18" spans="1:12" ht="20" customHeight="1">
      <x:c r="A18" s="5"/>
      <x:c r="B18" s="22" t="s">
        <x:v>24</x:v>
      </x:c>
      <x:c r="C18" s="23">
        <x:f>SUM(C10:C17)</x:f>
        <x:v>1710000</x:v>
      </x:c>
      <x:c r="D18" s="23">
        <x:f>SUM(D10:D17)</x:f>
        <x:v>1871000</x:v>
      </x:c>
      <x:c r="E18" s="23">
        <x:f>SUM(E10:E17)</x:f>
        <x:v>2038000</x:v>
      </x:c>
      <x:c r="F18" s="23">
        <x:f>SUM(F10:F17)</x:f>
        <x:v>2261000</x:v>
      </x:c>
      <x:c r="G18" s="23">
        <x:f>SUM(G10:G17)</x:f>
        <x:v>7880000</x:v>
      </x:c>
      <x:c r="H18" s="24">
        <x:f>SUM(H10:H17)</x:f>
        <x:v>13760</x:v>
      </x:c>
      <x:c r="I18" s="25">
        <x:f>AVERAGE(I10:I17)</x:f>
        <x:v>0.304125</x:v>
      </x:c>
      <x:c r="J18" s="5"/>
    </x:row>
    <x:row r="19" spans="1:12">
      <x:c r="A19" s="5"/>
      <x:c r="B19" s="5"/>
      <x:c r="C19" s="5"/>
      <x:c r="D19" s="5"/>
      <x:c r="E19" s="5"/>
      <x:c r="F19" s="5"/>
      <x:c r="G19" s="5"/>
      <x:c r="H19" s="5"/>
      <x:c r="I19" s="5"/>
      <x:c r="J19" s="5"/>
    </x:row>
  </x:sheetData>
  <x:conditionalFormatting sqref="I10:I17">
    <x:cfRule type="dataBar" priority="1">
      <x:dataBar showValue="1">
        <x:cfvo type="min" val="0"/>
        <x:cfvo type="max" val="0"/>
        <x:color rgb="FF38BDF8"/>
      </x:dataBar>
      <x:extLst>
        <x:ext xmlns:x14="http://schemas.microsoft.com/office/spreadsheetml/2009/9/main" uri="{B025F937-C7B1-47D3-B67F-A62EFF666E3E}">
          <x14:id>{02949277-19B2-4EF6-841D-0E7A7BEB03F1}</x14:id>
        </x:ext>
      </x:extLst>
    </x:cfRule>
  </x:conditionalFormatting>
  <x:conditionalFormatting sqref="G10:G17">
    <x:cfRule type="colorScale" priority="2">
      <x:colorScale>
        <x:cfvo type="min"/>
        <x:cfvo type="max"/>
        <x:color rgb="FFDCEBFB"/>
        <x:color rgb="FF143C66"/>
      </x:colorScale>
    </x:cfRule>
  </x:conditionalFormatting>
  <x:printOptions horizontalCentered="0" verticalCentered="0" headings="0" gridLines="0"/>
  <x:pageMargins left="0.75" right="0.75" top="0.75" bottom="0.5" header="0.5" footer="0.75"/>
  <x:pageSetup paperSize="1" fitToHeight="0" pageOrder="downThenOver" orientation="default" blackAndWhite="0" draft="0" cellComments="none" errors="displayed"/>
  <x:headerFooter/>
  <x:drawing r:id="Rd13d540bc92545d5"/>
  <x:tableParts count="0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949277-19B2-4EF6-841D-0E7A7BEB03F1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38BDF8"/>
              <x14:axisColor rgb="FF000000"/>
            </x14:dataBar>
          </x14:cfRule>
          <xm:sqref>I10:I17</xm:sqref>
        </x14:conditionalFormatting>
        <x14:conditionalFormatting xmlns:xm="http://schemas.microsoft.com/office/excel/2006/main">
          <x14:cfRule type="dataBar" id="{02949277-19B2-4EF6-841D-0E7A7BEB03F1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38BDF8"/>
              <x14:axisColor rgb="FF000000"/>
            </x14:dataBar>
          </x14:cfRule>
          <xm:sqref>I10:I17</xm:sqref>
        </x14:conditionalFormatting>
        <x14:conditionalFormatting xmlns:xm="http://schemas.microsoft.com/office/excel/2006/main">
          <x14:cfRule type="dataBar" id="{02949277-19B2-4EF6-841D-0E7A7BEB03F1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38BDF8"/>
              <x14:axisColor rgb="FF000000"/>
            </x14:dataBar>
          </x14:cfRule>
          <xm:sqref>I10:I17</xm:sqref>
        </x14:conditionalFormatting>
        <x14:conditionalFormatting xmlns:xm="http://schemas.microsoft.com/office/excel/2006/main">
          <x14:cfRule type="dataBar" id="{02949277-19B2-4EF6-841D-0E7A7BEB03F1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38BDF8"/>
              <x14:axisColor rgb="FF000000"/>
            </x14:dataBar>
          </x14:cfRule>
          <xm:sqref>I10:I17</xm:sqref>
        </x14:conditionalFormatting>
        <x14:conditionalFormatting xmlns:xm="http://schemas.microsoft.com/office/excel/2006/main">
          <x14:cfRule type="dataBar" id="{02949277-19B2-4EF6-841D-0E7A7BEB03F1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38BDF8"/>
              <x14:axisColor rgb="FF000000"/>
            </x14:dataBar>
          </x14:cfRule>
          <xm:sqref>I10:I17</xm:sqref>
        </x14:conditionalFormatting>
      </x14:conditionalFormatting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Dashboard</vt:lpstr>
      <vt:lpstr>Dashboard!Print_Area</vt:lpstr>
      <vt:lpstr>Dashboard!Print_Titles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2026-06-15T16:04:43.8915900Z</dcterms:created>
  <dcterms:modified xsi:type="dcterms:W3CDTF">2026-06-15T16:04:43.8915970Z</dcterms:modified>
  <dc:creator>AIOffice</dc:creator>
  <dc:title>Northwind Cloud FY2025 Revenue Dashboard</dc:title>
</coreProperties>
</file>